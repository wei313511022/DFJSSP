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莫喬凱\Desktop\DFJSSP\MILP_test\"/>
    </mc:Choice>
  </mc:AlternateContent>
  <xr:revisionPtr revIDLastSave="0" documentId="13_ncr:1_{CD644239-D190-4493-B147-1EE442623508}" xr6:coauthVersionLast="47" xr6:coauthVersionMax="47" xr10:uidLastSave="{00000000-0000-0000-0000-000000000000}"/>
  <bookViews>
    <workbookView xWindow="-90" yWindow="0" windowWidth="9780" windowHeight="10170" xr2:uid="{B06B1341-D32E-4A3F-B76A-B4D05FD2C56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D4" i="1" s="1"/>
  <c r="K9" i="1"/>
  <c r="E4" i="1" s="1"/>
  <c r="L9" i="1"/>
  <c r="F4" i="1" s="1"/>
  <c r="M9" i="1"/>
  <c r="G4" i="1" s="1"/>
  <c r="N9" i="1"/>
  <c r="H4" i="1" s="1"/>
</calcChain>
</file>

<file path=xl/sharedStrings.xml><?xml version="1.0" encoding="utf-8"?>
<sst xmlns="http://schemas.openxmlformats.org/spreadsheetml/2006/main" count="35" uniqueCount="19">
  <si>
    <t>MILP</t>
    <phoneticPr fontId="1" type="noConversion"/>
  </si>
  <si>
    <t>DPR-1</t>
    <phoneticPr fontId="1" type="noConversion"/>
  </si>
  <si>
    <t>DPR-2</t>
    <phoneticPr fontId="1" type="noConversion"/>
  </si>
  <si>
    <t>DPR-4</t>
    <phoneticPr fontId="1" type="noConversion"/>
  </si>
  <si>
    <t>DPR-5</t>
    <phoneticPr fontId="1" type="noConversion"/>
  </si>
  <si>
    <t>DPR-6</t>
    <phoneticPr fontId="1" type="noConversion"/>
  </si>
  <si>
    <t>Makespan</t>
    <phoneticPr fontId="1" type="noConversion"/>
  </si>
  <si>
    <t>Makespan (average)</t>
    <phoneticPr fontId="1" type="noConversion"/>
  </si>
  <si>
    <t>Average</t>
    <phoneticPr fontId="1" type="noConversion"/>
  </si>
  <si>
    <t>Solve time (s)</t>
    <phoneticPr fontId="1" type="noConversion"/>
  </si>
  <si>
    <t>Dispatch inbox: size: 5, batch: 50</t>
    <phoneticPr fontId="1" type="noConversion"/>
  </si>
  <si>
    <t>5 jobs</t>
    <phoneticPr fontId="1" type="noConversion"/>
  </si>
  <si>
    <t>10 jobs</t>
    <phoneticPr fontId="1" type="noConversion"/>
  </si>
  <si>
    <t>MILP(inhance)</t>
    <phoneticPr fontId="1" type="noConversion"/>
  </si>
  <si>
    <t>15 jobs</t>
    <phoneticPr fontId="1" type="noConversion"/>
  </si>
  <si>
    <t>20 jobs</t>
    <phoneticPr fontId="1" type="noConversion"/>
  </si>
  <si>
    <t>25 jobs</t>
    <phoneticPr fontId="1" type="noConversion"/>
  </si>
  <si>
    <t>X</t>
    <phoneticPr fontId="1" type="noConversion"/>
  </si>
  <si>
    <t>五分鐘內找不到可行解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</si>
</sst>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3B5C-A867-4E5E-AAA1-CA9BA9893C22}">
  <dimension ref="A1:N32"/>
  <sheetViews>
    <sheetView tabSelected="1" topLeftCell="A9" workbookViewId="0">
      <selection activeCell="F21" sqref="F21"/>
    </sheetView>
  </sheetViews>
  <sheetFormatPr defaultRowHeight="17" x14ac:dyDescent="0.4"/>
  <cols>
    <col min="1" max="1" width="33.26953125" style="1" bestFit="1" customWidth="1"/>
    <col min="2" max="2" width="8.81640625" style="1" bestFit="1" customWidth="1"/>
    <col min="3" max="3" width="14.36328125" style="1" bestFit="1" customWidth="1"/>
    <col min="4" max="6" width="8.7265625" style="1"/>
    <col min="7" max="7" width="24.1796875" bestFit="1" customWidth="1"/>
    <col min="9" max="9" width="10.36328125" bestFit="1" customWidth="1"/>
  </cols>
  <sheetData>
    <row r="1" spans="1:14" x14ac:dyDescent="0.4">
      <c r="A1" s="5" t="s">
        <v>10</v>
      </c>
      <c r="G1" s="1"/>
      <c r="H1" s="1"/>
      <c r="I1" s="1"/>
      <c r="J1" s="1"/>
      <c r="K1" s="1"/>
      <c r="L1" s="1"/>
      <c r="M1" s="1"/>
      <c r="N1" s="1"/>
    </row>
    <row r="2" spans="1:14" x14ac:dyDescent="0.4">
      <c r="G2" s="1"/>
      <c r="H2" s="1"/>
      <c r="I2" s="1"/>
      <c r="J2" s="1"/>
      <c r="K2" s="1"/>
      <c r="L2" s="1"/>
      <c r="M2" s="1"/>
      <c r="N2" s="1"/>
    </row>
    <row r="3" spans="1:14" x14ac:dyDescent="0.4">
      <c r="B3" s="4" t="s">
        <v>0</v>
      </c>
      <c r="C3" s="4" t="s">
        <v>13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1"/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</row>
    <row r="4" spans="1:14" x14ac:dyDescent="0.4">
      <c r="A4" s="3" t="s">
        <v>7</v>
      </c>
      <c r="B4" s="2">
        <v>2157</v>
      </c>
      <c r="C4" s="2">
        <v>2076</v>
      </c>
      <c r="D4" s="1">
        <f>J9</f>
        <v>2354.4</v>
      </c>
      <c r="E4" s="1">
        <f>K9</f>
        <v>2349.6</v>
      </c>
      <c r="F4" s="1">
        <f>L9</f>
        <v>2348</v>
      </c>
      <c r="G4" s="1">
        <f>M9</f>
        <v>2500</v>
      </c>
      <c r="H4" s="1">
        <f>N9</f>
        <v>2308.4</v>
      </c>
      <c r="I4" s="3" t="s">
        <v>6</v>
      </c>
      <c r="J4" s="1">
        <v>2351</v>
      </c>
      <c r="K4" s="1">
        <v>2312</v>
      </c>
      <c r="L4" s="1">
        <v>2338</v>
      </c>
      <c r="M4" s="1">
        <v>2500</v>
      </c>
      <c r="N4" s="1">
        <v>2317</v>
      </c>
    </row>
    <row r="5" spans="1:14" x14ac:dyDescent="0.4">
      <c r="A5" s="3" t="s">
        <v>9</v>
      </c>
      <c r="B5" s="1">
        <v>125.79</v>
      </c>
      <c r="C5" s="1">
        <v>2262.3200000000002</v>
      </c>
      <c r="D5" s="1">
        <v>0.01</v>
      </c>
      <c r="E5" s="1">
        <v>0.01</v>
      </c>
      <c r="F5" s="1">
        <v>0.01</v>
      </c>
      <c r="G5" s="1">
        <v>0.01</v>
      </c>
      <c r="H5" s="1">
        <v>0.01</v>
      </c>
      <c r="I5" s="1"/>
      <c r="J5" s="1">
        <v>2311</v>
      </c>
      <c r="K5" s="1">
        <v>2319</v>
      </c>
      <c r="L5" s="1">
        <v>2362</v>
      </c>
      <c r="M5" s="1">
        <v>2500</v>
      </c>
      <c r="N5" s="1">
        <v>2311</v>
      </c>
    </row>
    <row r="6" spans="1:14" x14ac:dyDescent="0.4">
      <c r="G6" s="1"/>
      <c r="H6" s="1"/>
      <c r="I6" s="1"/>
      <c r="J6" s="1">
        <v>2363</v>
      </c>
      <c r="K6" s="1">
        <v>2462</v>
      </c>
      <c r="L6" s="1">
        <v>2346</v>
      </c>
      <c r="M6" s="1">
        <v>2500</v>
      </c>
      <c r="N6" s="1">
        <v>2263</v>
      </c>
    </row>
    <row r="7" spans="1:14" x14ac:dyDescent="0.4">
      <c r="G7" s="1"/>
      <c r="H7" s="1"/>
      <c r="I7" s="1"/>
      <c r="J7" s="1">
        <v>2351</v>
      </c>
      <c r="K7" s="1">
        <v>2349</v>
      </c>
      <c r="L7" s="1">
        <v>2369</v>
      </c>
      <c r="M7" s="1">
        <v>2500</v>
      </c>
      <c r="N7" s="1">
        <v>2307</v>
      </c>
    </row>
    <row r="8" spans="1:14" x14ac:dyDescent="0.4">
      <c r="G8" s="1"/>
      <c r="H8" s="1"/>
      <c r="I8" s="1"/>
      <c r="J8" s="1">
        <v>2396</v>
      </c>
      <c r="K8" s="1">
        <v>2306</v>
      </c>
      <c r="L8" s="1">
        <v>2325</v>
      </c>
      <c r="M8" s="1">
        <v>2500</v>
      </c>
      <c r="N8" s="1">
        <v>2344</v>
      </c>
    </row>
    <row r="9" spans="1:14" x14ac:dyDescent="0.4">
      <c r="G9" s="1"/>
      <c r="H9" s="1"/>
      <c r="I9" s="3" t="s">
        <v>8</v>
      </c>
      <c r="J9" s="1">
        <f>SUM(J4:J8)/5</f>
        <v>2354.4</v>
      </c>
      <c r="K9" s="1">
        <f t="shared" ref="K9:N9" si="0">SUM(K4:K8)/5</f>
        <v>2349.6</v>
      </c>
      <c r="L9" s="1">
        <f t="shared" si="0"/>
        <v>2348</v>
      </c>
      <c r="M9" s="1">
        <f t="shared" si="0"/>
        <v>2500</v>
      </c>
      <c r="N9" s="2">
        <f t="shared" si="0"/>
        <v>2308.4</v>
      </c>
    </row>
    <row r="11" spans="1:14" s="7" customFormat="1" x14ac:dyDescent="0.4">
      <c r="A11" s="8"/>
      <c r="B11" s="8"/>
      <c r="C11" s="8"/>
      <c r="D11" s="8"/>
      <c r="E11" s="8"/>
      <c r="F11" s="8"/>
    </row>
    <row r="14" spans="1:14" x14ac:dyDescent="0.4">
      <c r="A14" s="6" t="s">
        <v>11</v>
      </c>
      <c r="B14" s="3">
        <v>1</v>
      </c>
      <c r="C14" s="3">
        <v>2</v>
      </c>
      <c r="D14" s="3">
        <v>3</v>
      </c>
      <c r="E14" s="3">
        <v>4</v>
      </c>
      <c r="F14" s="3">
        <v>5</v>
      </c>
    </row>
    <row r="15" spans="1:14" x14ac:dyDescent="0.4">
      <c r="A15" s="3" t="s">
        <v>6</v>
      </c>
      <c r="B15" s="1">
        <v>51</v>
      </c>
      <c r="C15" s="1">
        <v>58</v>
      </c>
      <c r="D15" s="1">
        <v>40</v>
      </c>
      <c r="E15" s="1">
        <v>46</v>
      </c>
      <c r="F15" s="1">
        <v>44</v>
      </c>
    </row>
    <row r="16" spans="1:14" x14ac:dyDescent="0.4">
      <c r="A16" s="3" t="s">
        <v>9</v>
      </c>
      <c r="B16" s="1">
        <v>4.45</v>
      </c>
      <c r="C16" s="1">
        <v>20.11</v>
      </c>
      <c r="D16" s="1">
        <v>5.26</v>
      </c>
      <c r="E16" s="1">
        <v>8.1</v>
      </c>
      <c r="F16" s="1">
        <v>2.19</v>
      </c>
    </row>
    <row r="18" spans="1:7" x14ac:dyDescent="0.4">
      <c r="A18" s="6" t="s">
        <v>12</v>
      </c>
      <c r="B18" s="3">
        <v>1</v>
      </c>
      <c r="C18" s="3">
        <v>2</v>
      </c>
      <c r="D18" s="3">
        <v>3</v>
      </c>
      <c r="E18" s="3">
        <v>4</v>
      </c>
      <c r="F18" s="3">
        <v>5</v>
      </c>
    </row>
    <row r="19" spans="1:7" x14ac:dyDescent="0.4">
      <c r="A19" s="3" t="s">
        <v>6</v>
      </c>
      <c r="B19" s="1">
        <v>75</v>
      </c>
      <c r="C19" s="1">
        <v>79</v>
      </c>
      <c r="D19" s="1">
        <v>92</v>
      </c>
      <c r="E19" s="1">
        <v>69</v>
      </c>
      <c r="F19" s="1">
        <v>84</v>
      </c>
    </row>
    <row r="20" spans="1:7" x14ac:dyDescent="0.4">
      <c r="A20" s="3" t="s">
        <v>9</v>
      </c>
      <c r="B20" s="1">
        <v>300</v>
      </c>
      <c r="C20" s="1">
        <v>300</v>
      </c>
      <c r="D20" s="1">
        <v>300</v>
      </c>
      <c r="E20" s="1">
        <v>300</v>
      </c>
      <c r="F20" s="1">
        <v>300</v>
      </c>
    </row>
    <row r="22" spans="1:7" x14ac:dyDescent="0.4">
      <c r="A22" s="6" t="s">
        <v>14</v>
      </c>
      <c r="B22" s="3">
        <v>1</v>
      </c>
      <c r="C22" s="3">
        <v>2</v>
      </c>
      <c r="D22" s="3">
        <v>3</v>
      </c>
      <c r="E22" s="3">
        <v>4</v>
      </c>
      <c r="F22" s="3">
        <v>5</v>
      </c>
    </row>
    <row r="23" spans="1:7" x14ac:dyDescent="0.4">
      <c r="A23" s="3" t="s">
        <v>6</v>
      </c>
      <c r="B23" s="1">
        <v>121</v>
      </c>
      <c r="C23" s="1">
        <v>121</v>
      </c>
      <c r="D23" s="1">
        <v>124</v>
      </c>
      <c r="E23" s="1">
        <v>124</v>
      </c>
      <c r="F23" s="1">
        <v>144</v>
      </c>
    </row>
    <row r="24" spans="1:7" x14ac:dyDescent="0.4">
      <c r="A24" s="3" t="s">
        <v>9</v>
      </c>
      <c r="B24" s="1">
        <v>300</v>
      </c>
      <c r="C24" s="1">
        <v>300</v>
      </c>
      <c r="D24" s="1">
        <v>300</v>
      </c>
      <c r="E24" s="1">
        <v>300</v>
      </c>
      <c r="F24" s="1">
        <v>300</v>
      </c>
    </row>
    <row r="26" spans="1:7" x14ac:dyDescent="0.4">
      <c r="A26" s="6" t="s">
        <v>15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</row>
    <row r="27" spans="1:7" x14ac:dyDescent="0.4">
      <c r="A27" s="3" t="s">
        <v>6</v>
      </c>
      <c r="B27" s="1">
        <v>182</v>
      </c>
      <c r="C27" s="1">
        <v>183</v>
      </c>
      <c r="D27" s="1">
        <v>175</v>
      </c>
      <c r="E27" s="1">
        <v>172</v>
      </c>
      <c r="F27" s="1">
        <v>174</v>
      </c>
    </row>
    <row r="28" spans="1:7" x14ac:dyDescent="0.4">
      <c r="A28" s="3" t="s">
        <v>9</v>
      </c>
      <c r="B28" s="1">
        <v>300</v>
      </c>
      <c r="C28" s="1">
        <v>300</v>
      </c>
      <c r="D28" s="1">
        <v>300</v>
      </c>
      <c r="E28" s="1">
        <v>300</v>
      </c>
      <c r="F28" s="1">
        <v>300</v>
      </c>
    </row>
    <row r="30" spans="1:7" x14ac:dyDescent="0.4">
      <c r="A30" s="6" t="s">
        <v>16</v>
      </c>
      <c r="B30" s="3">
        <v>1</v>
      </c>
      <c r="C30" s="3">
        <v>2</v>
      </c>
      <c r="D30" s="3">
        <v>3</v>
      </c>
      <c r="E30" s="3">
        <v>4</v>
      </c>
      <c r="F30" s="3">
        <v>5</v>
      </c>
      <c r="G30" t="s">
        <v>18</v>
      </c>
    </row>
    <row r="31" spans="1:7" x14ac:dyDescent="0.4">
      <c r="A31" s="3" t="s">
        <v>6</v>
      </c>
      <c r="B31" s="1">
        <v>355</v>
      </c>
      <c r="C31" s="1">
        <v>260</v>
      </c>
      <c r="D31" s="1">
        <v>283</v>
      </c>
      <c r="E31" s="1" t="s">
        <v>17</v>
      </c>
      <c r="F31" s="1" t="s">
        <v>17</v>
      </c>
    </row>
    <row r="32" spans="1:7" x14ac:dyDescent="0.4">
      <c r="A32" s="3" t="s">
        <v>9</v>
      </c>
      <c r="B32" s="1">
        <v>300</v>
      </c>
      <c r="C32" s="1">
        <v>300</v>
      </c>
      <c r="D32" s="1">
        <v>300</v>
      </c>
      <c r="E32" s="1">
        <v>300</v>
      </c>
      <c r="F32" s="1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莫喬凱</dc:creator>
  <cp:lastModifiedBy>莫喬凱</cp:lastModifiedBy>
  <dcterms:created xsi:type="dcterms:W3CDTF">2026-02-03T02:07:35Z</dcterms:created>
  <dcterms:modified xsi:type="dcterms:W3CDTF">2026-02-08T14:02:09Z</dcterms:modified>
</cp:coreProperties>
</file>