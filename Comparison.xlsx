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莫喬凱\Desktop\DFJSSP\"/>
    </mc:Choice>
  </mc:AlternateContent>
  <xr:revisionPtr revIDLastSave="0" documentId="13_ncr:1_{4F376F73-05B5-4636-B8C5-10ACA7B9DFC9}" xr6:coauthVersionLast="47" xr6:coauthVersionMax="47" xr10:uidLastSave="{00000000-0000-0000-0000-000000000000}"/>
  <bookViews>
    <workbookView xWindow="-110" yWindow="-110" windowWidth="19420" windowHeight="10300" xr2:uid="{B06B1341-D32E-4A3F-B76A-B4D05FD2C56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C4" i="1" s="1"/>
  <c r="K9" i="1"/>
  <c r="D4" i="1" s="1"/>
  <c r="L9" i="1"/>
  <c r="E4" i="1" s="1"/>
  <c r="M9" i="1"/>
  <c r="F4" i="1" s="1"/>
  <c r="N9" i="1"/>
  <c r="G4" i="1" s="1"/>
</calcChain>
</file>

<file path=xl/sharedStrings.xml><?xml version="1.0" encoding="utf-8"?>
<sst xmlns="http://schemas.openxmlformats.org/spreadsheetml/2006/main" count="16" uniqueCount="11">
  <si>
    <t>MILP</t>
    <phoneticPr fontId="1" type="noConversion"/>
  </si>
  <si>
    <t>DPR-1</t>
    <phoneticPr fontId="1" type="noConversion"/>
  </si>
  <si>
    <t>DPR-2</t>
    <phoneticPr fontId="1" type="noConversion"/>
  </si>
  <si>
    <t>DPR-4</t>
    <phoneticPr fontId="1" type="noConversion"/>
  </si>
  <si>
    <t>DPR-5</t>
    <phoneticPr fontId="1" type="noConversion"/>
  </si>
  <si>
    <t>DPR-6</t>
    <phoneticPr fontId="1" type="noConversion"/>
  </si>
  <si>
    <t>Makespan</t>
    <phoneticPr fontId="1" type="noConversion"/>
  </si>
  <si>
    <t>Makespan (average)</t>
    <phoneticPr fontId="1" type="noConversion"/>
  </si>
  <si>
    <t>Average</t>
    <phoneticPr fontId="1" type="noConversion"/>
  </si>
  <si>
    <t>Solve time (s)</t>
    <phoneticPr fontId="1" type="noConversion"/>
  </si>
  <si>
    <t>Dispatch inbox: size: 5, batch: 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</si>
</sst>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3B5C-A867-4E5E-AAA1-CA9BA9893C22}">
  <dimension ref="A1:N9"/>
  <sheetViews>
    <sheetView tabSelected="1" workbookViewId="0">
      <selection activeCell="F10" sqref="F10"/>
    </sheetView>
  </sheetViews>
  <sheetFormatPr defaultRowHeight="17" x14ac:dyDescent="0.4"/>
  <cols>
    <col min="1" max="1" width="33.26953125" bestFit="1" customWidth="1"/>
    <col min="9" max="9" width="10.36328125" bestFit="1" customWidth="1"/>
  </cols>
  <sheetData>
    <row r="1" spans="1:14" x14ac:dyDescent="0.4">
      <c r="A1" s="5" t="s">
        <v>10</v>
      </c>
      <c r="B1" s="1"/>
      <c r="C1" s="1"/>
      <c r="D1" s="1"/>
      <c r="E1" s="1"/>
      <c r="F1" s="6"/>
      <c r="G1" s="6"/>
      <c r="H1" s="6"/>
      <c r="I1" s="6"/>
      <c r="J1" s="6"/>
      <c r="K1" s="6"/>
      <c r="L1" s="1"/>
      <c r="M1" s="1"/>
      <c r="N1" s="1"/>
    </row>
    <row r="2" spans="1:14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4">
      <c r="A3" s="1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1"/>
      <c r="I3" s="1"/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</row>
    <row r="4" spans="1:14" x14ac:dyDescent="0.4">
      <c r="A4" s="3" t="s">
        <v>7</v>
      </c>
      <c r="B4" s="2">
        <v>2154</v>
      </c>
      <c r="C4" s="1">
        <f>J9</f>
        <v>2354.4</v>
      </c>
      <c r="D4" s="1">
        <f>K9</f>
        <v>2349.6</v>
      </c>
      <c r="E4" s="1">
        <f>L9</f>
        <v>2348</v>
      </c>
      <c r="F4" s="1">
        <f>M9</f>
        <v>2500</v>
      </c>
      <c r="G4" s="1">
        <f>N9</f>
        <v>2308.4</v>
      </c>
      <c r="H4" s="1"/>
      <c r="I4" s="3" t="s">
        <v>6</v>
      </c>
      <c r="J4" s="1">
        <v>2351</v>
      </c>
      <c r="K4" s="1">
        <v>2312</v>
      </c>
      <c r="L4" s="1">
        <v>2338</v>
      </c>
      <c r="M4" s="1">
        <v>2500</v>
      </c>
      <c r="N4" s="1">
        <v>2317</v>
      </c>
    </row>
    <row r="5" spans="1:14" x14ac:dyDescent="0.4">
      <c r="A5" s="3" t="s">
        <v>9</v>
      </c>
      <c r="B5" s="1">
        <v>162.62</v>
      </c>
      <c r="C5" s="1">
        <v>0.01</v>
      </c>
      <c r="D5" s="1">
        <v>0.01</v>
      </c>
      <c r="E5" s="1">
        <v>0.01</v>
      </c>
      <c r="F5" s="1">
        <v>0.01</v>
      </c>
      <c r="G5" s="1">
        <v>0.01</v>
      </c>
      <c r="H5" s="1"/>
      <c r="I5" s="1"/>
      <c r="J5" s="1">
        <v>2311</v>
      </c>
      <c r="K5" s="1">
        <v>2319</v>
      </c>
      <c r="L5" s="1">
        <v>2362</v>
      </c>
      <c r="M5" s="1">
        <v>2500</v>
      </c>
      <c r="N5" s="1">
        <v>2311</v>
      </c>
    </row>
    <row r="6" spans="1:14" x14ac:dyDescent="0.4">
      <c r="A6" s="1"/>
      <c r="B6" s="1"/>
      <c r="C6" s="1"/>
      <c r="D6" s="1"/>
      <c r="E6" s="1"/>
      <c r="F6" s="1"/>
      <c r="G6" s="1"/>
      <c r="H6" s="1"/>
      <c r="I6" s="1"/>
      <c r="J6" s="1">
        <v>2363</v>
      </c>
      <c r="K6" s="1">
        <v>2462</v>
      </c>
      <c r="L6" s="1">
        <v>2346</v>
      </c>
      <c r="M6" s="1">
        <v>2500</v>
      </c>
      <c r="N6" s="1">
        <v>2263</v>
      </c>
    </row>
    <row r="7" spans="1:14" x14ac:dyDescent="0.4">
      <c r="A7" s="1"/>
      <c r="B7" s="1"/>
      <c r="C7" s="1"/>
      <c r="D7" s="1"/>
      <c r="E7" s="1"/>
      <c r="F7" s="1"/>
      <c r="G7" s="1"/>
      <c r="H7" s="1"/>
      <c r="I7" s="1"/>
      <c r="J7" s="1">
        <v>2351</v>
      </c>
      <c r="K7" s="1">
        <v>2349</v>
      </c>
      <c r="L7" s="1">
        <v>2369</v>
      </c>
      <c r="M7" s="1">
        <v>2500</v>
      </c>
      <c r="N7" s="1">
        <v>2307</v>
      </c>
    </row>
    <row r="8" spans="1:14" x14ac:dyDescent="0.4">
      <c r="A8" s="1"/>
      <c r="B8" s="1"/>
      <c r="C8" s="1"/>
      <c r="D8" s="1"/>
      <c r="E8" s="1"/>
      <c r="F8" s="1"/>
      <c r="G8" s="1"/>
      <c r="H8" s="1"/>
      <c r="I8" s="1"/>
      <c r="J8" s="1">
        <v>2396</v>
      </c>
      <c r="K8" s="1">
        <v>2306</v>
      </c>
      <c r="L8" s="1">
        <v>2325</v>
      </c>
      <c r="M8" s="1">
        <v>2500</v>
      </c>
      <c r="N8" s="1">
        <v>2344</v>
      </c>
    </row>
    <row r="9" spans="1:14" x14ac:dyDescent="0.4">
      <c r="A9" s="1"/>
      <c r="B9" s="1"/>
      <c r="C9" s="1"/>
      <c r="D9" s="1"/>
      <c r="E9" s="1"/>
      <c r="F9" s="1"/>
      <c r="G9" s="1"/>
      <c r="H9" s="1"/>
      <c r="I9" s="3" t="s">
        <v>8</v>
      </c>
      <c r="J9" s="1">
        <f>SUM(J4:J8)/5</f>
        <v>2354.4</v>
      </c>
      <c r="K9" s="1">
        <f t="shared" ref="K9:N9" si="0">SUM(K4:K8)/5</f>
        <v>2349.6</v>
      </c>
      <c r="L9" s="1">
        <f t="shared" si="0"/>
        <v>2348</v>
      </c>
      <c r="M9" s="1">
        <f t="shared" si="0"/>
        <v>2500</v>
      </c>
      <c r="N9" s="2">
        <f t="shared" si="0"/>
        <v>2308.4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莫喬凱</dc:creator>
  <cp:lastModifiedBy>莫喬凱</cp:lastModifiedBy>
  <dcterms:created xsi:type="dcterms:W3CDTF">2026-02-03T02:07:35Z</dcterms:created>
  <dcterms:modified xsi:type="dcterms:W3CDTF">2026-02-03T03:02:30Z</dcterms:modified>
</cp:coreProperties>
</file>